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SC_1\Desktop\"/>
    </mc:Choice>
  </mc:AlternateContent>
  <xr:revisionPtr revIDLastSave="0" documentId="13_ncr:1_{4D6D086F-B067-4764-BE2F-AE13AE20B0B8}" xr6:coauthVersionLast="47" xr6:coauthVersionMax="47" xr10:uidLastSave="{00000000-0000-0000-0000-000000000000}"/>
  <bookViews>
    <workbookView xWindow="9760" yWindow="490" windowWidth="19770" windowHeight="15160" xr2:uid="{00000000-000D-0000-FFFF-FFFF00000000}"/>
  </bookViews>
  <sheets>
    <sheet name="Shopping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1" i="1" l="1"/>
  <c r="G10" i="1"/>
  <c r="H10" i="1" s="1"/>
  <c r="G9" i="1"/>
  <c r="H9" i="1" s="1"/>
  <c r="G8" i="1"/>
  <c r="H8" i="1" s="1"/>
  <c r="G7" i="1"/>
  <c r="H7" i="1" s="1"/>
  <c r="G6" i="1"/>
  <c r="H6" i="1" s="1"/>
  <c r="G5" i="1"/>
  <c r="H5" i="1" s="1"/>
  <c r="G4" i="1"/>
  <c r="H4" i="1" s="1"/>
  <c r="G3" i="1"/>
  <c r="H3" i="1" s="1"/>
</calcChain>
</file>

<file path=xl/sharedStrings.xml><?xml version="1.0" encoding="utf-8"?>
<sst xmlns="http://schemas.openxmlformats.org/spreadsheetml/2006/main" count="51" uniqueCount="49">
  <si>
    <t>환율(KRW/USD)</t>
  </si>
  <si>
    <t>항목 번호</t>
  </si>
  <si>
    <t>항목명</t>
  </si>
  <si>
    <t>사양/설명</t>
  </si>
  <si>
    <t>브랜드/모델</t>
  </si>
  <si>
    <t>수량</t>
  </si>
  <si>
    <t>단가(USD)</t>
  </si>
  <si>
    <t>단가(KRW 자동)</t>
  </si>
  <si>
    <t>총액(KRW)</t>
  </si>
  <si>
    <t>구매처 링크</t>
  </si>
  <si>
    <t>비고</t>
  </si>
  <si>
    <t>모터</t>
  </si>
  <si>
    <t>추력 35~40kg급</t>
  </si>
  <si>
    <t>Hobbywing M13842 HP</t>
  </si>
  <si>
    <t>https://www.hobbywing.com</t>
  </si>
  <si>
    <t>중고급 모터</t>
  </si>
  <si>
    <t>ESC</t>
  </si>
  <si>
    <t>200A HV / 12~14S</t>
  </si>
  <si>
    <t>Hobbywing SEAKING 200A</t>
  </si>
  <si>
    <t>https://www.xcopters.com</t>
  </si>
  <si>
    <t>중급 ESC</t>
  </si>
  <si>
    <t>배터리팩</t>
  </si>
  <si>
    <t>12S 22000mAh</t>
  </si>
  <si>
    <t>Tattu 22Ah</t>
  </si>
  <si>
    <t>https://www.lotteon.com</t>
  </si>
  <si>
    <t>중급 배터리</t>
  </si>
  <si>
    <t>프로펠러</t>
  </si>
  <si>
    <t>38~42 inch Carbon</t>
  </si>
  <si>
    <t>Generic Carbon Prop</t>
  </si>
  <si>
    <t>https://www.aliexpress.com</t>
  </si>
  <si>
    <t>가성비 프롭</t>
  </si>
  <si>
    <t>비행제어기</t>
  </si>
  <si>
    <t>단일 FC 또는 이중화 옵션</t>
  </si>
  <si>
    <t>Pixhawk 6X</t>
  </si>
  <si>
    <t>https://www.cubepilot.com</t>
  </si>
  <si>
    <t>비용 절약형</t>
  </si>
  <si>
    <t>RTK GPS</t>
  </si>
  <si>
    <t>정밀 GPS</t>
  </si>
  <si>
    <t>Here3+</t>
  </si>
  <si>
    <t>중급 RTK</t>
  </si>
  <si>
    <t>프레임</t>
  </si>
  <si>
    <t>알루미늄/카본 조립식</t>
  </si>
  <si>
    <t>Custom Frame</t>
  </si>
  <si>
    <t>-</t>
  </si>
  <si>
    <t>맞춤 제작 필요</t>
  </si>
  <si>
    <t>안전장치</t>
  </si>
  <si>
    <t>단일 낙하산</t>
  </si>
  <si>
    <t>Generic UAV Parachute</t>
  </si>
  <si>
    <t>기본 안전장치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</si>
</sst>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G13" sqref="G13"/>
    </sheetView>
  </sheetViews>
  <sheetFormatPr defaultRowHeight="17" x14ac:dyDescent="0.45"/>
  <cols>
    <col min="1" max="1" width="14.58203125" bestFit="1" customWidth="1"/>
    <col min="2" max="2" width="10.4140625" bestFit="1" customWidth="1"/>
    <col min="3" max="3" width="23.33203125" bestFit="1" customWidth="1"/>
    <col min="4" max="4" width="24.4140625" bestFit="1" customWidth="1"/>
    <col min="5" max="5" width="4.83203125" bestFit="1" customWidth="1"/>
    <col min="6" max="6" width="9.58203125" bestFit="1" customWidth="1"/>
    <col min="7" max="7" width="14.58203125" bestFit="1" customWidth="1"/>
    <col min="8" max="8" width="9.9140625" bestFit="1" customWidth="1"/>
    <col min="9" max="9" width="26" bestFit="1" customWidth="1"/>
    <col min="10" max="10" width="13.75" bestFit="1" customWidth="1"/>
  </cols>
  <sheetData>
    <row r="1" spans="1:10" x14ac:dyDescent="0.45">
      <c r="A1" t="s">
        <v>0</v>
      </c>
      <c r="B1">
        <v>1350</v>
      </c>
    </row>
    <row r="2" spans="1:10" x14ac:dyDescent="0.4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10" x14ac:dyDescent="0.45">
      <c r="A3">
        <v>1</v>
      </c>
      <c r="B3" t="s">
        <v>11</v>
      </c>
      <c r="C3" t="s">
        <v>12</v>
      </c>
      <c r="D3" t="s">
        <v>13</v>
      </c>
      <c r="E3">
        <v>8</v>
      </c>
      <c r="F3">
        <v>650</v>
      </c>
      <c r="G3">
        <f t="shared" ref="G3:G10" si="0">F3*$B$1</f>
        <v>877500</v>
      </c>
      <c r="H3">
        <f t="shared" ref="H3:H10" si="1">G3*E3</f>
        <v>7020000</v>
      </c>
      <c r="I3" t="s">
        <v>14</v>
      </c>
      <c r="J3" t="s">
        <v>15</v>
      </c>
    </row>
    <row r="4" spans="1:10" x14ac:dyDescent="0.45">
      <c r="A4">
        <v>2</v>
      </c>
      <c r="B4" t="s">
        <v>16</v>
      </c>
      <c r="C4" t="s">
        <v>17</v>
      </c>
      <c r="D4" t="s">
        <v>18</v>
      </c>
      <c r="E4">
        <v>8</v>
      </c>
      <c r="F4">
        <v>190</v>
      </c>
      <c r="G4">
        <f t="shared" si="0"/>
        <v>256500</v>
      </c>
      <c r="H4">
        <f t="shared" si="1"/>
        <v>2052000</v>
      </c>
      <c r="I4" t="s">
        <v>19</v>
      </c>
      <c r="J4" t="s">
        <v>20</v>
      </c>
    </row>
    <row r="5" spans="1:10" x14ac:dyDescent="0.45">
      <c r="A5">
        <v>3</v>
      </c>
      <c r="B5" t="s">
        <v>21</v>
      </c>
      <c r="C5" t="s">
        <v>22</v>
      </c>
      <c r="D5" t="s">
        <v>23</v>
      </c>
      <c r="E5">
        <v>3</v>
      </c>
      <c r="F5">
        <v>280</v>
      </c>
      <c r="G5">
        <f t="shared" si="0"/>
        <v>378000</v>
      </c>
      <c r="H5">
        <f t="shared" si="1"/>
        <v>1134000</v>
      </c>
      <c r="I5" t="s">
        <v>24</v>
      </c>
      <c r="J5" t="s">
        <v>25</v>
      </c>
    </row>
    <row r="6" spans="1:10" x14ac:dyDescent="0.45">
      <c r="A6">
        <v>4</v>
      </c>
      <c r="B6" t="s">
        <v>26</v>
      </c>
      <c r="C6" t="s">
        <v>27</v>
      </c>
      <c r="D6" t="s">
        <v>28</v>
      </c>
      <c r="E6">
        <v>8</v>
      </c>
      <c r="F6">
        <v>80</v>
      </c>
      <c r="G6">
        <f t="shared" si="0"/>
        <v>108000</v>
      </c>
      <c r="H6">
        <f t="shared" si="1"/>
        <v>864000</v>
      </c>
      <c r="I6" t="s">
        <v>29</v>
      </c>
      <c r="J6" t="s">
        <v>30</v>
      </c>
    </row>
    <row r="7" spans="1:10" x14ac:dyDescent="0.45">
      <c r="A7">
        <v>5</v>
      </c>
      <c r="B7" t="s">
        <v>31</v>
      </c>
      <c r="C7" t="s">
        <v>32</v>
      </c>
      <c r="D7" t="s">
        <v>33</v>
      </c>
      <c r="E7">
        <v>1</v>
      </c>
      <c r="F7">
        <v>200</v>
      </c>
      <c r="G7">
        <f t="shared" si="0"/>
        <v>270000</v>
      </c>
      <c r="H7">
        <f t="shared" si="1"/>
        <v>270000</v>
      </c>
      <c r="I7" t="s">
        <v>34</v>
      </c>
      <c r="J7" t="s">
        <v>35</v>
      </c>
    </row>
    <row r="8" spans="1:10" x14ac:dyDescent="0.45">
      <c r="A8">
        <v>6</v>
      </c>
      <c r="B8" t="s">
        <v>36</v>
      </c>
      <c r="C8" t="s">
        <v>37</v>
      </c>
      <c r="D8" t="s">
        <v>38</v>
      </c>
      <c r="E8">
        <v>1</v>
      </c>
      <c r="F8">
        <v>230</v>
      </c>
      <c r="G8">
        <f t="shared" si="0"/>
        <v>310500</v>
      </c>
      <c r="H8">
        <f t="shared" si="1"/>
        <v>310500</v>
      </c>
      <c r="I8" t="s">
        <v>34</v>
      </c>
      <c r="J8" t="s">
        <v>39</v>
      </c>
    </row>
    <row r="9" spans="1:10" x14ac:dyDescent="0.45">
      <c r="A9">
        <v>7</v>
      </c>
      <c r="B9" t="s">
        <v>40</v>
      </c>
      <c r="C9" t="s">
        <v>41</v>
      </c>
      <c r="D9" t="s">
        <v>42</v>
      </c>
      <c r="E9">
        <v>1</v>
      </c>
      <c r="F9">
        <v>350</v>
      </c>
      <c r="G9">
        <f t="shared" si="0"/>
        <v>472500</v>
      </c>
      <c r="H9">
        <f t="shared" si="1"/>
        <v>472500</v>
      </c>
      <c r="I9" t="s">
        <v>43</v>
      </c>
      <c r="J9" t="s">
        <v>44</v>
      </c>
    </row>
    <row r="10" spans="1:10" x14ac:dyDescent="0.45">
      <c r="A10">
        <v>8</v>
      </c>
      <c r="B10" t="s">
        <v>45</v>
      </c>
      <c r="C10" t="s">
        <v>46</v>
      </c>
      <c r="D10" t="s">
        <v>47</v>
      </c>
      <c r="E10">
        <v>1</v>
      </c>
      <c r="F10">
        <v>200</v>
      </c>
      <c r="G10">
        <f t="shared" si="0"/>
        <v>270000</v>
      </c>
      <c r="H10">
        <f t="shared" si="1"/>
        <v>270000</v>
      </c>
      <c r="I10" t="s">
        <v>43</v>
      </c>
      <c r="J10" t="s">
        <v>48</v>
      </c>
    </row>
    <row r="11" spans="1:10" x14ac:dyDescent="0.45">
      <c r="H11">
        <f>SUM(H3:H10)</f>
        <v>12393000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ShoppingList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ESC_1</cp:lastModifiedBy>
  <dcterms:created xsi:type="dcterms:W3CDTF">2025-11-13T05:09:03Z</dcterms:created>
  <dcterms:modified xsi:type="dcterms:W3CDTF">2025-11-13T06:54:52Z</dcterms:modified>
</cp:coreProperties>
</file>