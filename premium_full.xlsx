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SC_1\Desktop\"/>
    </mc:Choice>
  </mc:AlternateContent>
  <xr:revisionPtr revIDLastSave="0" documentId="13_ncr:1_{640EA2B2-FB24-48E3-8593-33103D094DBE}" xr6:coauthVersionLast="47" xr6:coauthVersionMax="47" xr10:uidLastSave="{00000000-0000-0000-0000-000000000000}"/>
  <bookViews>
    <workbookView xWindow="450" yWindow="10" windowWidth="19770" windowHeight="15160" xr2:uid="{00000000-000D-0000-FFFF-FFFF00000000}"/>
  </bookViews>
  <sheets>
    <sheet name="Shopping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1" l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H11" i="1" l="1"/>
</calcChain>
</file>

<file path=xl/sharedStrings.xml><?xml version="1.0" encoding="utf-8"?>
<sst xmlns="http://schemas.openxmlformats.org/spreadsheetml/2006/main" count="51" uniqueCount="51">
  <si>
    <t>환율(KRW/USD)</t>
  </si>
  <si>
    <t>항목 번호</t>
  </si>
  <si>
    <t>항목명</t>
  </si>
  <si>
    <t>사양/설명</t>
  </si>
  <si>
    <t>브랜드/모델</t>
  </si>
  <si>
    <t>수량</t>
  </si>
  <si>
    <t>단가(USD)</t>
  </si>
  <si>
    <t>단가(KRW 자동)</t>
  </si>
  <si>
    <t>총액(KRW)</t>
  </si>
  <si>
    <t>구매처 링크</t>
  </si>
  <si>
    <t>비고</t>
  </si>
  <si>
    <t>모터</t>
  </si>
  <si>
    <t>추력 40kg급</t>
  </si>
  <si>
    <t>프리미엄 모터</t>
  </si>
  <si>
    <t>ESC</t>
  </si>
  <si>
    <t>180A HV / 12~16S</t>
  </si>
  <si>
    <t>고급 ESC</t>
  </si>
  <si>
    <t>배터리팩</t>
  </si>
  <si>
    <t>12S 22000mAh / PRO HV</t>
  </si>
  <si>
    <t>프리미엄 배터리</t>
  </si>
  <si>
    <t>프로펠러</t>
  </si>
  <si>
    <t>40~45 inch Carbon</t>
  </si>
  <si>
    <t>카본 프롭</t>
  </si>
  <si>
    <t>비행제어기</t>
  </si>
  <si>
    <t>이중화 지원</t>
  </si>
  <si>
    <t>CubePilot Orange+</t>
  </si>
  <si>
    <t>프리미엄 FC</t>
  </si>
  <si>
    <t>RTK GPS</t>
  </si>
  <si>
    <t>정밀 GPS</t>
  </si>
  <si>
    <t>Here4 RTK</t>
  </si>
  <si>
    <t>정밀 항법</t>
  </si>
  <si>
    <t>프레임</t>
  </si>
  <si>
    <t>알루미늄+카본 튜브</t>
  </si>
  <si>
    <t>Custom Frame</t>
  </si>
  <si>
    <t>-</t>
  </si>
  <si>
    <t>맞춤 제작 필요</t>
  </si>
  <si>
    <t>안전장치</t>
  </si>
  <si>
    <t>이중 낙하산</t>
  </si>
  <si>
    <t>탑승형 필수</t>
  </si>
  <si>
    <t>T-Motor U15L</t>
    <phoneticPr fontId="1" type="noConversion"/>
  </si>
  <si>
    <t xml:space="preserve">https://www.ligpower.com/product/u15l-manned-aircraft-uav-motor.html?utm_source=google&amp;utm_medium=cpc&amp;utm_campaign_id=22358558399&amp;utm_campaign=Motor-CompetingWord-YT2&amp;utm_term=t%20motor%20u15l&amp;utm_content=178171017073-740065453384&amp;matchtype=p&amp;device=c&amp;loc_physical_ms=1009871&amp;gad_source=1&amp;gad_campaignid=22358558399&amp;gbraid=0AAAAA-1f8dEP4vt4cHnQy34KwyT5Pm9Qq&amp;gclid=CjwKCAiA_dDIBhB6EiwAvzc1cAN1qb9d5RmxRk_DswUsmgeiwK3OAFEdf8LadFES5CelGovDPi7xShoCT5cQAvD_BwE </t>
    <phoneticPr fontId="1" type="noConversion"/>
  </si>
  <si>
    <t>T-Motor Flame 180A</t>
    <phoneticPr fontId="1" type="noConversion"/>
  </si>
  <si>
    <t xml:space="preserve">https://www.ligpower.com/product/flame-180a-12s-v2-esc.html </t>
    <phoneticPr fontId="1" type="noConversion"/>
  </si>
  <si>
    <t>Tattu PRO HV</t>
    <phoneticPr fontId="1" type="noConversion"/>
  </si>
  <si>
    <t>https://ko.aliexpress.com/item/1005009262419916.html?spm=a2g0o.productlist.main.4.595bPasbPasbX3&amp;algo_pvid=4225dc21-b918-441b-8c6e-d1bb96fc72f2&amp;algo_exp_id=4225dc21-b918-441b-8c6e-d1bb96fc72f2-2&amp;pdp_ext_f=%7B%22order%22%3A%227%22%2C%22eval%22%3A%221%22%2C%22fromPage%22%3A%22search%22%7D&amp;pdp_npi=6%40dis%21USD%21398.28%21333.54%21%21%212818.71%212360.51%21%402141115b17630114852826204e13a7%2112000048524996032%21sea%21KR%210%21ABX%211%210%21n_tag%3A-29910%3Bd%3Aa13f95b8%3Bm03_new_user%3A-29895%3BpisId%3A5000000192023066&amp;curPageLogUid=TQawH5ssmFFV&amp;utparam-url=scene%3Asearch%7Cquery_from%3A%7Cx_object_id%3A1005009262419916%7C_p_origin_prod%3A</t>
    <phoneticPr fontId="1" type="noConversion"/>
  </si>
  <si>
    <t xml:space="preserve">https://irlock.com/products/cube-orange-plus-standard-set </t>
    <phoneticPr fontId="1" type="noConversion"/>
  </si>
  <si>
    <t xml:space="preserve">https://irlock.com/products/here4-multiband-rtk-gnss </t>
    <phoneticPr fontId="1" type="noConversion"/>
  </si>
  <si>
    <t xml:space="preserve">https://store.tmotor.com/product/folding-carbon-fiber-36_2x11_8-prop-push-tyle.html </t>
    <phoneticPr fontId="1" type="noConversion"/>
  </si>
  <si>
    <t>T-Motor Carbon Prop(FA36.2*11.8 Push Type Prop-2PCS/PAIR)</t>
    <phoneticPr fontId="1" type="noConversion"/>
  </si>
  <si>
    <t>Drone parachute system (supporting Ardupilot stop propeller/parachuate on) DPS 200-200KG Load Capacity (Global Warehouse)</t>
    <phoneticPr fontId="1" type="noConversion"/>
  </si>
  <si>
    <t>https://www.austars-model.com/drone-parachute-system-supporting-ardupilot-stop-propellerparachuate-on-dps-200200kg-load-capacity_g25301.html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</si>
</sst>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rlock.com/products/cube-orange-plus-standard-set" TargetMode="External"/><Relationship Id="rId2" Type="http://schemas.openxmlformats.org/officeDocument/2006/relationships/hyperlink" Target="https://www.ligpower.com/product/flame-180a-12s-v2-esc.html" TargetMode="External"/><Relationship Id="rId1" Type="http://schemas.openxmlformats.org/officeDocument/2006/relationships/hyperlink" Target="https://www.ligpower.com/product/u15l-manned-aircraft-uav-motor.html?utm_source=google&amp;utm_medium=cpc&amp;utm_campaign_id=22358558399&amp;utm_campaign=Motor-CompetingWord-YT2&amp;utm_term=t%20motor%20u15l&amp;utm_content=178171017073-740065453384&amp;matchtype=p&amp;device=c&amp;loc_physical_ms=1009871&amp;gad_source=1&amp;gad_campaignid=22358558399&amp;gbraid=0AAAAA-1f8dEP4vt4cHnQy34KwyT5Pm9Qq&amp;gclid=CjwKCAiA_dDIBhB6EiwAvzc1cAN1qb9d5RmxRk_DswUsmgeiwK3OAFEdf8LadFES5CelGovDPi7xShoCT5cQAvD_BwE" TargetMode="External"/><Relationship Id="rId5" Type="http://schemas.openxmlformats.org/officeDocument/2006/relationships/hyperlink" Target="https://store.tmotor.com/product/folding-carbon-fiber-36_2x11_8-prop-push-tyle.html" TargetMode="External"/><Relationship Id="rId4" Type="http://schemas.openxmlformats.org/officeDocument/2006/relationships/hyperlink" Target="https://irlock.com/products/here4-multiband-rtk-gn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B1" workbookViewId="0">
      <selection activeCell="D12" sqref="D12"/>
    </sheetView>
  </sheetViews>
  <sheetFormatPr defaultRowHeight="17" x14ac:dyDescent="0.45"/>
  <cols>
    <col min="1" max="1" width="14.58203125" bestFit="1" customWidth="1"/>
    <col min="2" max="2" width="10.4140625" bestFit="1" customWidth="1"/>
    <col min="3" max="3" width="23.4140625" bestFit="1" customWidth="1"/>
    <col min="4" max="4" width="53.4140625" customWidth="1"/>
    <col min="5" max="5" width="4.83203125" bestFit="1" customWidth="1"/>
    <col min="6" max="6" width="9.58203125" bestFit="1" customWidth="1"/>
    <col min="7" max="7" width="14.58203125" bestFit="1" customWidth="1"/>
    <col min="8" max="8" width="9.9140625" bestFit="1" customWidth="1"/>
    <col min="9" max="9" width="24.75" bestFit="1" customWidth="1"/>
    <col min="10" max="10" width="15" bestFit="1" customWidth="1"/>
  </cols>
  <sheetData>
    <row r="1" spans="1:10" x14ac:dyDescent="0.45">
      <c r="A1" t="s">
        <v>0</v>
      </c>
      <c r="B1">
        <v>1450</v>
      </c>
    </row>
    <row r="2" spans="1:10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45">
      <c r="A3">
        <v>1</v>
      </c>
      <c r="B3" t="s">
        <v>11</v>
      </c>
      <c r="C3" t="s">
        <v>12</v>
      </c>
      <c r="D3" t="s">
        <v>39</v>
      </c>
      <c r="E3">
        <v>8</v>
      </c>
      <c r="F3">
        <v>1099</v>
      </c>
      <c r="G3">
        <f t="shared" ref="G3:G10" si="0">F3*$B$1</f>
        <v>1593550</v>
      </c>
      <c r="H3">
        <f t="shared" ref="H3:H10" si="1">G3*E3</f>
        <v>12748400</v>
      </c>
      <c r="I3" s="1" t="s">
        <v>40</v>
      </c>
      <c r="J3" t="s">
        <v>13</v>
      </c>
    </row>
    <row r="4" spans="1:10" x14ac:dyDescent="0.45">
      <c r="A4">
        <v>2</v>
      </c>
      <c r="B4" t="s">
        <v>14</v>
      </c>
      <c r="C4" t="s">
        <v>15</v>
      </c>
      <c r="D4" t="s">
        <v>41</v>
      </c>
      <c r="E4">
        <v>8</v>
      </c>
      <c r="F4">
        <v>260</v>
      </c>
      <c r="G4">
        <f t="shared" si="0"/>
        <v>377000</v>
      </c>
      <c r="H4">
        <f t="shared" si="1"/>
        <v>3016000</v>
      </c>
      <c r="I4" s="1" t="s">
        <v>42</v>
      </c>
      <c r="J4" t="s">
        <v>16</v>
      </c>
    </row>
    <row r="5" spans="1:10" x14ac:dyDescent="0.45">
      <c r="A5">
        <v>3</v>
      </c>
      <c r="B5" t="s">
        <v>17</v>
      </c>
      <c r="C5" t="s">
        <v>18</v>
      </c>
      <c r="D5" t="s">
        <v>43</v>
      </c>
      <c r="E5">
        <v>3</v>
      </c>
      <c r="F5">
        <v>334</v>
      </c>
      <c r="G5">
        <f t="shared" si="0"/>
        <v>484300</v>
      </c>
      <c r="H5">
        <f t="shared" si="1"/>
        <v>1452900</v>
      </c>
      <c r="I5" t="s">
        <v>44</v>
      </c>
      <c r="J5" t="s">
        <v>19</v>
      </c>
    </row>
    <row r="6" spans="1:10" x14ac:dyDescent="0.45">
      <c r="A6">
        <v>4</v>
      </c>
      <c r="B6" t="s">
        <v>20</v>
      </c>
      <c r="C6" t="s">
        <v>21</v>
      </c>
      <c r="D6" t="s">
        <v>48</v>
      </c>
      <c r="E6">
        <v>4</v>
      </c>
      <c r="F6">
        <v>410</v>
      </c>
      <c r="G6">
        <f t="shared" si="0"/>
        <v>594500</v>
      </c>
      <c r="H6">
        <f t="shared" si="1"/>
        <v>2378000</v>
      </c>
      <c r="I6" s="1" t="s">
        <v>47</v>
      </c>
      <c r="J6" t="s">
        <v>22</v>
      </c>
    </row>
    <row r="7" spans="1:10" x14ac:dyDescent="0.45">
      <c r="A7">
        <v>5</v>
      </c>
      <c r="B7" t="s">
        <v>23</v>
      </c>
      <c r="C7" t="s">
        <v>24</v>
      </c>
      <c r="D7" t="s">
        <v>25</v>
      </c>
      <c r="E7">
        <v>1</v>
      </c>
      <c r="F7">
        <v>385</v>
      </c>
      <c r="G7">
        <f t="shared" si="0"/>
        <v>558250</v>
      </c>
      <c r="H7">
        <f t="shared" si="1"/>
        <v>558250</v>
      </c>
      <c r="I7" s="1" t="s">
        <v>45</v>
      </c>
      <c r="J7" t="s">
        <v>26</v>
      </c>
    </row>
    <row r="8" spans="1:10" x14ac:dyDescent="0.45">
      <c r="A8">
        <v>6</v>
      </c>
      <c r="B8" t="s">
        <v>27</v>
      </c>
      <c r="C8" t="s">
        <v>28</v>
      </c>
      <c r="D8" t="s">
        <v>29</v>
      </c>
      <c r="E8">
        <v>1</v>
      </c>
      <c r="F8">
        <v>225</v>
      </c>
      <c r="G8">
        <f t="shared" si="0"/>
        <v>326250</v>
      </c>
      <c r="H8">
        <f t="shared" si="1"/>
        <v>326250</v>
      </c>
      <c r="I8" s="1" t="s">
        <v>46</v>
      </c>
      <c r="J8" t="s">
        <v>30</v>
      </c>
    </row>
    <row r="9" spans="1:10" x14ac:dyDescent="0.45">
      <c r="A9">
        <v>7</v>
      </c>
      <c r="B9" t="s">
        <v>31</v>
      </c>
      <c r="C9" t="s">
        <v>32</v>
      </c>
      <c r="D9" t="s">
        <v>33</v>
      </c>
      <c r="E9">
        <v>1</v>
      </c>
      <c r="G9">
        <f t="shared" si="0"/>
        <v>0</v>
      </c>
      <c r="H9">
        <f t="shared" si="1"/>
        <v>0</v>
      </c>
      <c r="I9" t="s">
        <v>34</v>
      </c>
      <c r="J9" t="s">
        <v>35</v>
      </c>
    </row>
    <row r="10" spans="1:10" x14ac:dyDescent="0.45">
      <c r="A10">
        <v>8</v>
      </c>
      <c r="B10" t="s">
        <v>36</v>
      </c>
      <c r="C10" t="s">
        <v>37</v>
      </c>
      <c r="D10" t="s">
        <v>49</v>
      </c>
      <c r="E10">
        <v>1</v>
      </c>
      <c r="F10">
        <v>6700</v>
      </c>
      <c r="G10">
        <f t="shared" si="0"/>
        <v>9715000</v>
      </c>
      <c r="H10">
        <f t="shared" si="1"/>
        <v>9715000</v>
      </c>
      <c r="I10" s="1" t="s">
        <v>50</v>
      </c>
      <c r="J10" t="s">
        <v>38</v>
      </c>
    </row>
    <row r="11" spans="1:10" x14ac:dyDescent="0.45">
      <c r="H11">
        <f>SUM(H3:H10)</f>
        <v>30194800</v>
      </c>
    </row>
  </sheetData>
  <phoneticPr fontId="1" type="noConversion"/>
  <hyperlinks>
    <hyperlink ref="I3" r:id="rId1" display="https://www.ligpower.com/product/u15l-manned-aircraft-uav-motor.html?utm_source=google&amp;utm_medium=cpc&amp;utm_campaign_id=22358558399&amp;utm_campaign=Motor-CompetingWord-YT2&amp;utm_term=t%20motor%20u15l&amp;utm_content=178171017073-740065453384&amp;matchtype=p&amp;device=c&amp;loc_physical_ms=1009871&amp;gad_source=1&amp;gad_campaignid=22358558399&amp;gbraid=0AAAAA-1f8dEP4vt4cHnQy34KwyT5Pm9Qq&amp;gclid=CjwKCAiA_dDIBhB6EiwAvzc1cAN1qb9d5RmxRk_DswUsmgeiwK3OAFEdf8LadFES5CelGovDPi7xShoCT5cQAvD_BwE " xr:uid="{5E22E1ED-3165-46BC-8E89-8F7731210A6C}"/>
    <hyperlink ref="I4" r:id="rId2" xr:uid="{4FD35F07-FCDE-4200-B39C-DAF9FC692CD7}"/>
    <hyperlink ref="I7" r:id="rId3" xr:uid="{42E5E651-BE61-40AF-A980-B75A447889F3}"/>
    <hyperlink ref="I8" r:id="rId4" xr:uid="{EFD5BC3C-2DBD-4E14-B1B0-E1677BFBD6F2}"/>
    <hyperlink ref="I6" r:id="rId5" xr:uid="{A371E054-37FD-4746-AA0A-24FCADB952F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ShoppingList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ESC_1</cp:lastModifiedBy>
  <dcterms:created xsi:type="dcterms:W3CDTF">2025-11-13T05:09:03Z</dcterms:created>
  <dcterms:modified xsi:type="dcterms:W3CDTF">2025-11-13T06:48:25Z</dcterms:modified>
</cp:coreProperties>
</file>